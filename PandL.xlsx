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oit/Documents/Job/Consulting/Ipsen/"/>
    </mc:Choice>
  </mc:AlternateContent>
  <xr:revisionPtr revIDLastSave="0" documentId="13_ncr:1_{6994164E-81F2-8F48-90DE-868CADBEE7A3}" xr6:coauthVersionLast="47" xr6:coauthVersionMax="47" xr10:uidLastSave="{00000000-0000-0000-0000-000000000000}"/>
  <bookViews>
    <workbookView xWindow="380" yWindow="500" windowWidth="28040" windowHeight="16280" xr2:uid="{7515C1E8-4C30-E04A-9E4C-A412F7D3AC77}"/>
  </bookViews>
  <sheets>
    <sheet name="P&amp;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C21" i="1"/>
  <c r="C11" i="1"/>
  <c r="B11" i="1"/>
  <c r="D3" i="1"/>
  <c r="D5" i="1"/>
  <c r="D7" i="1"/>
  <c r="D9" i="1"/>
  <c r="D10" i="1"/>
  <c r="D12" i="1"/>
  <c r="D14" i="1"/>
  <c r="D16" i="1"/>
  <c r="D17" i="1"/>
  <c r="D18" i="1"/>
  <c r="D19" i="1"/>
  <c r="D20" i="1"/>
  <c r="D2" i="1"/>
  <c r="C15" i="1"/>
  <c r="C13" i="1"/>
  <c r="C6" i="1"/>
  <c r="C8" i="1"/>
  <c r="C4" i="1"/>
  <c r="B15" i="1"/>
  <c r="B13" i="1"/>
  <c r="B8" i="1"/>
  <c r="B6" i="1"/>
  <c r="B4" i="1"/>
</calcChain>
</file>

<file path=xl/sharedStrings.xml><?xml version="1.0" encoding="utf-8"?>
<sst xmlns="http://schemas.openxmlformats.org/spreadsheetml/2006/main" count="22" uniqueCount="22">
  <si>
    <t>(in million of euros)</t>
  </si>
  <si>
    <t>YoY</t>
  </si>
  <si>
    <t>Revenue</t>
  </si>
  <si>
    <t>Oncology</t>
  </si>
  <si>
    <t>% Oncology/Rev</t>
  </si>
  <si>
    <t>Neurosciences</t>
  </si>
  <si>
    <t>% Neurosciences/Rev</t>
  </si>
  <si>
    <t>Rare diseases</t>
  </si>
  <si>
    <t>% Rare diseases/Rev</t>
  </si>
  <si>
    <t>Cost of sales</t>
  </si>
  <si>
    <t>Gross Margin</t>
  </si>
  <si>
    <t>Selling general and administrative expenses</t>
  </si>
  <si>
    <t>% SG&amp;A/Rev</t>
  </si>
  <si>
    <t>Research and development expenses</t>
  </si>
  <si>
    <t>% R&amp;D/Rev</t>
  </si>
  <si>
    <t>Other</t>
  </si>
  <si>
    <t>Impairment losses</t>
  </si>
  <si>
    <t>Operating Income</t>
  </si>
  <si>
    <t>Total financial income and expenses</t>
  </si>
  <si>
    <t>Consolidated Net Profit</t>
  </si>
  <si>
    <t>Gross Profit</t>
  </si>
  <si>
    <t>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</si>
</sst>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(&quot;€&quot;* #\ ##0_);_(&quot;€&quot;* \(#\ ##0\);_(&quot;€&quot;* &quot;-&quot;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0" tint="-0.499984740745262"/>
      <name val="Aptos Narrow"/>
      <scheme val="minor"/>
    </font>
    <font>
      <b/>
      <sz val="12"/>
      <color theme="1"/>
      <name val="Aptos Narrow"/>
      <scheme val="minor"/>
    </font>
    <font>
      <sz val="12"/>
      <color theme="0" tint="-0.499984740745262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2" fillId="0" borderId="0" xfId="0" applyFont="1" applyAlignment="1">
      <alignment horizontal="left" indent="3"/>
    </xf>
    <xf numFmtId="0" fontId="4" fillId="0" borderId="0" xfId="0" applyFont="1"/>
    <xf numFmtId="9" fontId="4" fillId="0" borderId="0" xfId="1" applyFont="1"/>
    <xf numFmtId="9" fontId="3" fillId="2" borderId="0" xfId="1" applyFont="1" applyFill="1" applyAlignment="1">
      <alignment horizontal="center"/>
    </xf>
    <xf numFmtId="9" fontId="5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169" fontId="3" fillId="2" borderId="0" xfId="0" applyNumberFormat="1" applyFont="1" applyFill="1"/>
    <xf numFmtId="169" fontId="0" fillId="2" borderId="0" xfId="0" applyNumberFormat="1" applyFill="1"/>
    <xf numFmtId="0" fontId="2" fillId="2" borderId="0" xfId="0" applyFont="1" applyFill="1" applyAlignment="1">
      <alignment horizontal="left" indent="3"/>
    </xf>
    <xf numFmtId="9" fontId="4" fillId="2" borderId="0" xfId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BAA8-BAE0-E14A-9DA0-EDA7CCF047BD}">
  <dimension ref="A1:D21"/>
  <sheetViews>
    <sheetView showGridLines="0" tabSelected="1" zoomScale="125" workbookViewId="0">
      <selection activeCell="D22" sqref="D22"/>
    </sheetView>
  </sheetViews>
  <sheetFormatPr baseColWidth="10" defaultRowHeight="16" x14ac:dyDescent="0.2"/>
  <cols>
    <col min="1" max="1" width="36.6640625" bestFit="1" customWidth="1"/>
    <col min="2" max="2" width="11.83203125" bestFit="1" customWidth="1"/>
    <col min="3" max="3" width="14.1640625" bestFit="1" customWidth="1"/>
    <col min="4" max="4" width="10.83203125" style="12" customWidth="1"/>
  </cols>
  <sheetData>
    <row r="1" spans="1:4" s="1" customFormat="1" x14ac:dyDescent="0.2">
      <c r="A1" s="2" t="s">
        <v>0</v>
      </c>
      <c r="B1" s="3">
        <v>2025</v>
      </c>
      <c r="C1" s="3">
        <v>2024</v>
      </c>
      <c r="D1" s="3" t="s">
        <v>1</v>
      </c>
    </row>
    <row r="2" spans="1:4" s="1" customFormat="1" x14ac:dyDescent="0.2">
      <c r="A2" s="4" t="s">
        <v>2</v>
      </c>
      <c r="B2" s="14">
        <v>3676</v>
      </c>
      <c r="C2" s="14">
        <v>3401</v>
      </c>
      <c r="D2" s="10">
        <f>B2/C2-1</f>
        <v>8.0858571008527003E-2</v>
      </c>
    </row>
    <row r="3" spans="1:4" x14ac:dyDescent="0.2">
      <c r="A3" s="5" t="s">
        <v>3</v>
      </c>
      <c r="B3" s="13">
        <v>2544</v>
      </c>
      <c r="C3" s="13">
        <v>2505</v>
      </c>
      <c r="D3" s="11">
        <f t="shared" ref="D3:D20" si="0">B3/C3-1</f>
        <v>1.5568862275449069E-2</v>
      </c>
    </row>
    <row r="4" spans="1:4" s="8" customFormat="1" x14ac:dyDescent="0.2">
      <c r="A4" s="7" t="s">
        <v>4</v>
      </c>
      <c r="B4" s="9">
        <f>B3/B2</f>
        <v>0.69205658324265507</v>
      </c>
      <c r="C4" s="9">
        <f>C3/C2</f>
        <v>0.73654807409585421</v>
      </c>
      <c r="D4" s="11"/>
    </row>
    <row r="5" spans="1:4" x14ac:dyDescent="0.2">
      <c r="A5" s="5" t="s">
        <v>5</v>
      </c>
      <c r="B5" s="13">
        <v>746</v>
      </c>
      <c r="C5" s="13">
        <v>701</v>
      </c>
      <c r="D5" s="11">
        <f t="shared" si="0"/>
        <v>6.419400855920121E-2</v>
      </c>
    </row>
    <row r="6" spans="1:4" s="8" customFormat="1" x14ac:dyDescent="0.2">
      <c r="A6" s="7" t="s">
        <v>6</v>
      </c>
      <c r="B6" s="9">
        <f>B5/B2</f>
        <v>0.2029379760609358</v>
      </c>
      <c r="C6" s="9">
        <f>C5/C2</f>
        <v>0.20611584827991766</v>
      </c>
      <c r="D6" s="11"/>
    </row>
    <row r="7" spans="1:4" x14ac:dyDescent="0.2">
      <c r="A7" s="5" t="s">
        <v>7</v>
      </c>
      <c r="B7" s="13">
        <v>386</v>
      </c>
      <c r="C7" s="13">
        <v>196</v>
      </c>
      <c r="D7" s="11">
        <f t="shared" si="0"/>
        <v>0.96938775510204089</v>
      </c>
    </row>
    <row r="8" spans="1:4" s="8" customFormat="1" x14ac:dyDescent="0.2">
      <c r="A8" s="7" t="s">
        <v>8</v>
      </c>
      <c r="B8" s="9">
        <f>B7/B2</f>
        <v>0.10500544069640914</v>
      </c>
      <c r="C8" s="9">
        <f>C7/C2</f>
        <v>5.7630108791531902E-2</v>
      </c>
      <c r="D8" s="11"/>
    </row>
    <row r="9" spans="1:4" x14ac:dyDescent="0.2">
      <c r="A9" s="5" t="s">
        <v>9</v>
      </c>
      <c r="B9" s="13">
        <v>-751</v>
      </c>
      <c r="C9" s="13">
        <v>-704</v>
      </c>
      <c r="D9" s="11">
        <f t="shared" si="0"/>
        <v>6.6761363636363535E-2</v>
      </c>
    </row>
    <row r="10" spans="1:4" s="1" customFormat="1" x14ac:dyDescent="0.2">
      <c r="A10" s="6" t="s">
        <v>10</v>
      </c>
      <c r="B10" s="15">
        <v>3178</v>
      </c>
      <c r="C10" s="15">
        <v>2870</v>
      </c>
      <c r="D10" s="10">
        <f t="shared" si="0"/>
        <v>0.1073170731707318</v>
      </c>
    </row>
    <row r="11" spans="1:4" s="1" customFormat="1" x14ac:dyDescent="0.2">
      <c r="A11" s="16" t="s">
        <v>20</v>
      </c>
      <c r="B11" s="17">
        <f>B10/B2</f>
        <v>0.86452665941240481</v>
      </c>
      <c r="C11" s="17">
        <f>C10/C2</f>
        <v>0.84386945016171711</v>
      </c>
      <c r="D11" s="10"/>
    </row>
    <row r="12" spans="1:4" x14ac:dyDescent="0.2">
      <c r="A12" s="5" t="s">
        <v>11</v>
      </c>
      <c r="B12" s="13">
        <v>-1163</v>
      </c>
      <c r="C12" s="13">
        <v>-1088</v>
      </c>
      <c r="D12" s="11">
        <f t="shared" si="0"/>
        <v>6.8933823529411686E-2</v>
      </c>
    </row>
    <row r="13" spans="1:4" s="8" customFormat="1" x14ac:dyDescent="0.2">
      <c r="A13" s="7" t="s">
        <v>12</v>
      </c>
      <c r="B13" s="9">
        <f>-B12/B2</f>
        <v>0.31637649619151254</v>
      </c>
      <c r="C13" s="9">
        <f>-C12/C2</f>
        <v>0.31990591002646279</v>
      </c>
      <c r="D13" s="11"/>
    </row>
    <row r="14" spans="1:4" x14ac:dyDescent="0.2">
      <c r="A14" s="5" t="s">
        <v>13</v>
      </c>
      <c r="B14" s="13">
        <v>-754</v>
      </c>
      <c r="C14" s="13">
        <v>-687</v>
      </c>
      <c r="D14" s="11">
        <f t="shared" si="0"/>
        <v>9.7525473071324642E-2</v>
      </c>
    </row>
    <row r="15" spans="1:4" s="8" customFormat="1" x14ac:dyDescent="0.2">
      <c r="A15" s="7" t="s">
        <v>14</v>
      </c>
      <c r="B15" s="9">
        <f>-B14/B2</f>
        <v>0.20511425462459196</v>
      </c>
      <c r="C15" s="9">
        <f>-C14/C2</f>
        <v>0.20199941193766538</v>
      </c>
      <c r="D15" s="11"/>
    </row>
    <row r="16" spans="1:4" x14ac:dyDescent="0.2">
      <c r="A16" s="5" t="s">
        <v>15</v>
      </c>
      <c r="B16" s="13">
        <v>-288</v>
      </c>
      <c r="C16" s="13">
        <v>-318</v>
      </c>
      <c r="D16" s="11">
        <f t="shared" si="0"/>
        <v>-9.4339622641509413E-2</v>
      </c>
    </row>
    <row r="17" spans="1:4" x14ac:dyDescent="0.2">
      <c r="A17" s="5" t="s">
        <v>16</v>
      </c>
      <c r="B17" s="13">
        <v>-347</v>
      </c>
      <c r="C17" s="13">
        <v>-281</v>
      </c>
      <c r="D17" s="11">
        <f t="shared" si="0"/>
        <v>0.23487544483985756</v>
      </c>
    </row>
    <row r="18" spans="1:4" s="1" customFormat="1" x14ac:dyDescent="0.2">
      <c r="A18" s="6" t="s">
        <v>17</v>
      </c>
      <c r="B18" s="15">
        <v>626</v>
      </c>
      <c r="C18" s="15">
        <v>497</v>
      </c>
      <c r="D18" s="10">
        <f t="shared" si="0"/>
        <v>0.25955734406438635</v>
      </c>
    </row>
    <row r="19" spans="1:4" x14ac:dyDescent="0.2">
      <c r="A19" s="5" t="s">
        <v>18</v>
      </c>
      <c r="B19" s="13">
        <v>-181</v>
      </c>
      <c r="C19" s="13">
        <v>-149</v>
      </c>
      <c r="D19" s="11">
        <f t="shared" si="0"/>
        <v>0.21476510067114085</v>
      </c>
    </row>
    <row r="20" spans="1:4" s="1" customFormat="1" x14ac:dyDescent="0.2">
      <c r="A20" s="6" t="s">
        <v>19</v>
      </c>
      <c r="B20" s="15">
        <v>445</v>
      </c>
      <c r="C20" s="15">
        <v>347</v>
      </c>
      <c r="D20" s="10">
        <f t="shared" si="0"/>
        <v>0.28242074927953897</v>
      </c>
    </row>
    <row r="21" spans="1:4" s="1" customFormat="1" x14ac:dyDescent="0.2">
      <c r="A21" s="16" t="s">
        <v>21</v>
      </c>
      <c r="B21" s="17">
        <f>B20/B2</f>
        <v>0.12105549510337323</v>
      </c>
      <c r="C21" s="17">
        <f>C20/C2</f>
        <v>0.10202881505439576</v>
      </c>
      <c r="D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NEITTHOFFER</dc:creator>
  <cp:lastModifiedBy>Benoit NEITTHOFFER</cp:lastModifiedBy>
  <dcterms:created xsi:type="dcterms:W3CDTF">2026-05-28T13:35:36Z</dcterms:created>
  <dcterms:modified xsi:type="dcterms:W3CDTF">2026-05-28T13:47:25Z</dcterms:modified>
</cp:coreProperties>
</file>